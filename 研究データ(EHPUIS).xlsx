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tsuya_Watanabe\Downloads\"/>
    </mc:Choice>
  </mc:AlternateContent>
  <xr:revisionPtr revIDLastSave="0" documentId="13_ncr:1_{4DA48A2A-B2C6-4970-A18E-6D85E10FED84}" xr6:coauthVersionLast="47" xr6:coauthVersionMax="47" xr10:uidLastSave="{00000000-0000-0000-0000-000000000000}"/>
  <bookViews>
    <workbookView xWindow="-16320" yWindow="-5160" windowWidth="16440" windowHeight="28320" xr2:uid="{84F11A45-3E9D-8244-8A16-38D6FC4D47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8" i="1" l="1"/>
  <c r="O29" i="1"/>
  <c r="O12" i="1"/>
  <c r="O11" i="1"/>
  <c r="O10" i="1"/>
  <c r="O9" i="1"/>
  <c r="O8" i="1"/>
  <c r="G48" i="1"/>
  <c r="G47" i="1"/>
  <c r="G46" i="1"/>
  <c r="G54" i="1"/>
  <c r="G53" i="1"/>
  <c r="G52" i="1"/>
  <c r="G42" i="1"/>
  <c r="G41" i="1"/>
  <c r="G40" i="1"/>
  <c r="G35" i="1"/>
  <c r="G34" i="1"/>
  <c r="G33" i="1"/>
  <c r="G29" i="1"/>
  <c r="G28" i="1"/>
  <c r="G27" i="1"/>
  <c r="W28" i="1"/>
  <c r="W27" i="1"/>
  <c r="O7" i="1"/>
  <c r="O27" i="1"/>
  <c r="O6" i="1"/>
  <c r="O5" i="1"/>
  <c r="G19" i="1"/>
  <c r="G20" i="1"/>
  <c r="G21" i="1"/>
  <c r="G22" i="1"/>
  <c r="G23" i="1"/>
  <c r="G11" i="1"/>
  <c r="G12" i="1"/>
  <c r="G13" i="1"/>
  <c r="G14" i="1"/>
  <c r="G15" i="1"/>
  <c r="G4" i="1"/>
  <c r="G5" i="1"/>
  <c r="G6" i="1"/>
  <c r="G7" i="1"/>
  <c r="G3" i="1"/>
</calcChain>
</file>

<file path=xl/sharedStrings.xml><?xml version="1.0" encoding="utf-8"?>
<sst xmlns="http://schemas.openxmlformats.org/spreadsheetml/2006/main" count="82" uniqueCount="45">
  <si>
    <t>Pressure and IMU</t>
    <phoneticPr fontId="1"/>
  </si>
  <si>
    <t>Describe ＼ Task​</t>
  </si>
  <si>
    <t>Keep Standing​</t>
  </si>
  <si>
    <t>Tilting the body​</t>
  </si>
  <si>
    <t>Bowing​</t>
  </si>
  <si>
    <t>Squat​</t>
  </si>
  <si>
    <t>RMSE(mm)​</t>
  </si>
  <si>
    <t>Min_error(mm)​</t>
  </si>
  <si>
    <t>Max_error(mm)​</t>
  </si>
  <si>
    <t>Med_error(mm)​</t>
  </si>
  <si>
    <t>Std_error(mm)​</t>
  </si>
  <si>
    <r>
      <t>Standing and</t>
    </r>
    <r>
      <rPr>
        <sz val="12"/>
        <color theme="1"/>
        <rFont val="Arial"/>
        <family val="2"/>
        <charset val="128"/>
      </rPr>
      <t>​</t>
    </r>
    <r>
      <rPr>
        <sz val="12"/>
        <color theme="1"/>
        <rFont val="游ゴシック"/>
        <family val="2"/>
        <charset val="128"/>
        <scheme val="minor"/>
      </rPr>
      <t xml:space="preserve"> Sitting</t>
    </r>
    <r>
      <rPr>
        <sz val="12"/>
        <color theme="1"/>
        <rFont val="Arial"/>
        <family val="2"/>
      </rPr>
      <t>​</t>
    </r>
    <phoneticPr fontId="1"/>
  </si>
  <si>
    <t>LSTM</t>
    <phoneticPr fontId="1"/>
  </si>
  <si>
    <t>Average</t>
    <phoneticPr fontId="1"/>
  </si>
  <si>
    <t>Pressure Only</t>
    <phoneticPr fontId="1"/>
  </si>
  <si>
    <t>Med_RMES(mm)​</t>
  </si>
  <si>
    <t>Std(mm)​</t>
  </si>
  <si>
    <t>Transformer</t>
    <phoneticPr fontId="1"/>
  </si>
  <si>
    <t>Comparing Transfromer and LSTM</t>
    <phoneticPr fontId="1"/>
  </si>
  <si>
    <r>
      <rPr>
        <sz val="14"/>
        <color rgb="FF4D4D4D"/>
        <rFont val="游ゴシック"/>
        <family val="2"/>
        <charset val="128"/>
      </rPr>
      <t>微分データの削減</t>
    </r>
    <rPh sb="0" eb="2">
      <t xml:space="preserve">ビブンデータ </t>
    </rPh>
    <rPh sb="6" eb="8">
      <t xml:space="preserve">サクゲン </t>
    </rPh>
    <phoneticPr fontId="1"/>
  </si>
  <si>
    <t>Comparing Pressure + motion and pressure Only, a few sensors</t>
    <phoneticPr fontId="1"/>
  </si>
  <si>
    <t>Stand</t>
    <phoneticPr fontId="1"/>
  </si>
  <si>
    <r>
      <t>Tilt</t>
    </r>
    <r>
      <rPr>
        <sz val="12"/>
        <color theme="1"/>
        <rFont val="Arial"/>
        <family val="2"/>
        <charset val="128"/>
      </rPr>
      <t>​</t>
    </r>
    <phoneticPr fontId="1"/>
  </si>
  <si>
    <t>Bow</t>
    <phoneticPr fontId="1"/>
  </si>
  <si>
    <t>Stand and Sit</t>
    <phoneticPr fontId="1"/>
  </si>
  <si>
    <r>
      <t>Squat</t>
    </r>
    <r>
      <rPr>
        <sz val="12"/>
        <color theme="1"/>
        <rFont val="Arial"/>
        <family val="2"/>
        <charset val="128"/>
      </rPr>
      <t>​</t>
    </r>
    <phoneticPr fontId="1"/>
  </si>
  <si>
    <r>
      <t>Stand</t>
    </r>
    <r>
      <rPr>
        <sz val="12"/>
        <color theme="1"/>
        <rFont val="Arial"/>
        <family val="2"/>
        <charset val="128"/>
      </rPr>
      <t>​</t>
    </r>
    <phoneticPr fontId="1"/>
  </si>
  <si>
    <t>Tilt</t>
    <phoneticPr fontId="1"/>
  </si>
  <si>
    <r>
      <t>Stand and</t>
    </r>
    <r>
      <rPr>
        <sz val="12"/>
        <color theme="1"/>
        <rFont val="Arial"/>
        <family val="2"/>
        <charset val="128"/>
      </rPr>
      <t>​</t>
    </r>
    <r>
      <rPr>
        <sz val="12"/>
        <color theme="1"/>
        <rFont val="游ゴシック"/>
        <family val="2"/>
        <charset val="128"/>
        <scheme val="minor"/>
      </rPr>
      <t xml:space="preserve"> Sit</t>
    </r>
    <phoneticPr fontId="1"/>
  </si>
  <si>
    <t>Comparing use derivative data or not</t>
    <phoneticPr fontId="1"/>
  </si>
  <si>
    <t>No Derivative</t>
    <phoneticPr fontId="1"/>
  </si>
  <si>
    <t>With Derivative​</t>
    <phoneticPr fontId="1"/>
  </si>
  <si>
    <t>ポイントを削減(ミドルポイント損失)</t>
    <rPh sb="15" eb="17">
      <t xml:space="preserve">ソンシツ </t>
    </rPh>
    <phoneticPr fontId="1"/>
  </si>
  <si>
    <t>ポイントを削減(足の中央部分の損失)</t>
    <rPh sb="8" eb="9">
      <t xml:space="preserve">アシノ </t>
    </rPh>
    <rPh sb="10" eb="12">
      <t xml:space="preserve">チュウオウ </t>
    </rPh>
    <rPh sb="12" eb="14">
      <t xml:space="preserve">ブブン </t>
    </rPh>
    <rPh sb="15" eb="17">
      <t xml:space="preserve">ソンシツ </t>
    </rPh>
    <phoneticPr fontId="1"/>
  </si>
  <si>
    <t>ポイントを削減(足の周囲の損失)</t>
    <rPh sb="8" eb="9">
      <t xml:space="preserve">アシノ </t>
    </rPh>
    <rPh sb="10" eb="12">
      <t xml:space="preserve">シュウイ </t>
    </rPh>
    <rPh sb="13" eb="15">
      <t xml:space="preserve">ソンシツ </t>
    </rPh>
    <phoneticPr fontId="1"/>
  </si>
  <si>
    <t>ポイントを削減(足先とかかとの損失)</t>
    <rPh sb="8" eb="10">
      <t xml:space="preserve">アシサキ </t>
    </rPh>
    <rPh sb="15" eb="17">
      <t xml:space="preserve">ソンシツ </t>
    </rPh>
    <phoneticPr fontId="1"/>
  </si>
  <si>
    <t>Exclude IMU</t>
    <phoneticPr fontId="1"/>
  </si>
  <si>
    <t>Use all sensors</t>
    <phoneticPr fontId="1"/>
  </si>
  <si>
    <t>Sensor pattern 1</t>
    <phoneticPr fontId="1"/>
  </si>
  <si>
    <t>Sensor pattern 2</t>
    <phoneticPr fontId="1"/>
  </si>
  <si>
    <t>Sensor pattern 3</t>
    <phoneticPr fontId="1"/>
  </si>
  <si>
    <t>Sensor pattern 4</t>
    <phoneticPr fontId="1"/>
  </si>
  <si>
    <t>分散でtop17</t>
    <rPh sb="0" eb="2">
      <t xml:space="preserve">ブンサンデ </t>
    </rPh>
    <phoneticPr fontId="1"/>
  </si>
  <si>
    <t>PCAでtop17</t>
    <phoneticPr fontId="1"/>
  </si>
  <si>
    <t>BERT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</si>
</sst>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4"/>
      <color rgb="FF4D4D4D"/>
      <name val="Arial"/>
      <family val="2"/>
    </font>
    <font>
      <sz val="12"/>
      <color theme="1"/>
      <name val="Arial"/>
      <family val="2"/>
      <charset val="128"/>
    </font>
    <font>
      <sz val="12"/>
      <color theme="1"/>
      <name val="Arial"/>
      <family val="2"/>
    </font>
    <font>
      <sz val="14"/>
      <color rgb="FF595959"/>
      <name val="游ゴシック"/>
      <family val="3"/>
      <charset val="128"/>
      <scheme val="minor"/>
    </font>
    <font>
      <sz val="14"/>
      <color rgb="FF4D4D4D"/>
      <name val="游ゴシック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5" fillId="0" borderId="0" xfId="0" applyFont="1" applyAlignment="1">
      <alignment horizontal="center" vertical="center" readingOrder="1"/>
    </xf>
    <xf numFmtId="0" fontId="6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　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Sheet1!$I$27</c:f>
              <c:strCache>
                <c:ptCount val="1"/>
                <c:pt idx="0">
                  <c:v>BERT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Sheet1!$J$26:$O$26</c:f>
              <c:strCache>
                <c:ptCount val="6"/>
                <c:pt idx="0">
                  <c:v>Stand​</c:v>
                </c:pt>
                <c:pt idx="1">
                  <c:v>Tilt</c:v>
                </c:pt>
                <c:pt idx="2">
                  <c:v>Bow</c:v>
                </c:pt>
                <c:pt idx="3">
                  <c:v>Stand and​ Sit</c:v>
                </c:pt>
                <c:pt idx="4">
                  <c:v>Squat​</c:v>
                </c:pt>
                <c:pt idx="5">
                  <c:v>Average</c:v>
                </c:pt>
              </c:strCache>
            </c:strRef>
          </c:cat>
          <c:val>
            <c:numRef>
              <c:f>Sheet1!$J$27:$O$27</c:f>
              <c:numCache>
                <c:formatCode>General</c:formatCode>
                <c:ptCount val="6"/>
                <c:pt idx="0">
                  <c:v>2.4</c:v>
                </c:pt>
                <c:pt idx="1">
                  <c:v>34.1</c:v>
                </c:pt>
                <c:pt idx="2">
                  <c:v>56.6</c:v>
                </c:pt>
                <c:pt idx="3">
                  <c:v>63.8</c:v>
                </c:pt>
                <c:pt idx="4">
                  <c:v>98.8</c:v>
                </c:pt>
                <c:pt idx="5">
                  <c:v>51.14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34-1F4C-8FA2-451CFAA6137F}"/>
            </c:ext>
          </c:extLst>
        </c:ser>
        <c:ser>
          <c:idx val="1"/>
          <c:order val="1"/>
          <c:tx>
            <c:strRef>
              <c:f>Sheet1!$I$28</c:f>
              <c:strCache>
                <c:ptCount val="1"/>
                <c:pt idx="0">
                  <c:v>Transformer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Sheet1!$J$26:$O$26</c:f>
              <c:strCache>
                <c:ptCount val="6"/>
                <c:pt idx="0">
                  <c:v>Stand​</c:v>
                </c:pt>
                <c:pt idx="1">
                  <c:v>Tilt</c:v>
                </c:pt>
                <c:pt idx="2">
                  <c:v>Bow</c:v>
                </c:pt>
                <c:pt idx="3">
                  <c:v>Stand and​ Sit</c:v>
                </c:pt>
                <c:pt idx="4">
                  <c:v>Squat​</c:v>
                </c:pt>
                <c:pt idx="5">
                  <c:v>Average</c:v>
                </c:pt>
              </c:strCache>
            </c:strRef>
          </c:cat>
          <c:val>
            <c:numRef>
              <c:f>Sheet1!$J$28:$O$28</c:f>
              <c:numCache>
                <c:formatCode>General</c:formatCode>
                <c:ptCount val="6"/>
                <c:pt idx="0">
                  <c:v>52.6</c:v>
                </c:pt>
                <c:pt idx="1">
                  <c:v>48.9</c:v>
                </c:pt>
                <c:pt idx="2">
                  <c:v>63.7</c:v>
                </c:pt>
                <c:pt idx="3">
                  <c:v>70.099999999999994</c:v>
                </c:pt>
                <c:pt idx="4">
                  <c:v>75.2</c:v>
                </c:pt>
                <c:pt idx="5">
                  <c:v>62.1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34-1F4C-8FA2-451CFAA6137F}"/>
            </c:ext>
          </c:extLst>
        </c:ser>
        <c:ser>
          <c:idx val="2"/>
          <c:order val="2"/>
          <c:tx>
            <c:strRef>
              <c:f>Sheet1!$I$29</c:f>
              <c:strCache>
                <c:ptCount val="1"/>
                <c:pt idx="0">
                  <c:v>LSTM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Sheet1!$J$26:$O$26</c:f>
              <c:strCache>
                <c:ptCount val="6"/>
                <c:pt idx="0">
                  <c:v>Stand​</c:v>
                </c:pt>
                <c:pt idx="1">
                  <c:v>Tilt</c:v>
                </c:pt>
                <c:pt idx="2">
                  <c:v>Bow</c:v>
                </c:pt>
                <c:pt idx="3">
                  <c:v>Stand and​ Sit</c:v>
                </c:pt>
                <c:pt idx="4">
                  <c:v>Squat​</c:v>
                </c:pt>
                <c:pt idx="5">
                  <c:v>Average</c:v>
                </c:pt>
              </c:strCache>
            </c:strRef>
          </c:cat>
          <c:val>
            <c:numRef>
              <c:f>Sheet1!$J$29:$O$29</c:f>
              <c:numCache>
                <c:formatCode>General</c:formatCode>
                <c:ptCount val="6"/>
                <c:pt idx="0">
                  <c:v>59.3</c:v>
                </c:pt>
                <c:pt idx="1">
                  <c:v>56.2</c:v>
                </c:pt>
                <c:pt idx="2">
                  <c:v>94.8</c:v>
                </c:pt>
                <c:pt idx="3">
                  <c:v>80.5</c:v>
                </c:pt>
                <c:pt idx="4">
                  <c:v>95.9</c:v>
                </c:pt>
                <c:pt idx="5">
                  <c:v>77.34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63-4413-B324-69B191BAE9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4608848"/>
        <c:axId val="1194610560"/>
      </c:barChart>
      <c:catAx>
        <c:axId val="1194608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94610560"/>
        <c:crosses val="autoZero"/>
        <c:auto val="1"/>
        <c:lblAlgn val="ctr"/>
        <c:lblOffset val="100"/>
        <c:noMultiLvlLbl val="0"/>
      </c:catAx>
      <c:valAx>
        <c:axId val="1194610560"/>
        <c:scaling>
          <c:orientation val="minMax"/>
          <c:max val="1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94608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 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Sheet1!$Q$27</c:f>
              <c:strCache>
                <c:ptCount val="1"/>
                <c:pt idx="0">
                  <c:v>With Derivative​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Sheet1!$R$26:$W$26</c:f>
              <c:strCache>
                <c:ptCount val="6"/>
                <c:pt idx="0">
                  <c:v>Stand​</c:v>
                </c:pt>
                <c:pt idx="1">
                  <c:v>Tilt</c:v>
                </c:pt>
                <c:pt idx="2">
                  <c:v>Bow</c:v>
                </c:pt>
                <c:pt idx="3">
                  <c:v>Stand and​ Sit</c:v>
                </c:pt>
                <c:pt idx="4">
                  <c:v>Squat​</c:v>
                </c:pt>
                <c:pt idx="5">
                  <c:v>Average</c:v>
                </c:pt>
              </c:strCache>
            </c:strRef>
          </c:cat>
          <c:val>
            <c:numRef>
              <c:f>Sheet1!$R$27:$W$27</c:f>
              <c:numCache>
                <c:formatCode>General</c:formatCode>
                <c:ptCount val="6"/>
                <c:pt idx="0">
                  <c:v>52.6</c:v>
                </c:pt>
                <c:pt idx="1">
                  <c:v>48.9</c:v>
                </c:pt>
                <c:pt idx="2">
                  <c:v>63.7</c:v>
                </c:pt>
                <c:pt idx="3">
                  <c:v>70.099999999999994</c:v>
                </c:pt>
                <c:pt idx="4">
                  <c:v>75.2</c:v>
                </c:pt>
                <c:pt idx="5">
                  <c:v>62.1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2A-D149-ADD5-AB799E1ED124}"/>
            </c:ext>
          </c:extLst>
        </c:ser>
        <c:ser>
          <c:idx val="1"/>
          <c:order val="1"/>
          <c:tx>
            <c:strRef>
              <c:f>Sheet1!$Q$28</c:f>
              <c:strCache>
                <c:ptCount val="1"/>
                <c:pt idx="0">
                  <c:v>No Derivative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Sheet1!$R$26:$W$26</c:f>
              <c:strCache>
                <c:ptCount val="6"/>
                <c:pt idx="0">
                  <c:v>Stand​</c:v>
                </c:pt>
                <c:pt idx="1">
                  <c:v>Tilt</c:v>
                </c:pt>
                <c:pt idx="2">
                  <c:v>Bow</c:v>
                </c:pt>
                <c:pt idx="3">
                  <c:v>Stand and​ Sit</c:v>
                </c:pt>
                <c:pt idx="4">
                  <c:v>Squat​</c:v>
                </c:pt>
                <c:pt idx="5">
                  <c:v>Average</c:v>
                </c:pt>
              </c:strCache>
            </c:strRef>
          </c:cat>
          <c:val>
            <c:numRef>
              <c:f>Sheet1!$R$28:$W$28</c:f>
              <c:numCache>
                <c:formatCode>General</c:formatCode>
                <c:ptCount val="6"/>
                <c:pt idx="0">
                  <c:v>43.5</c:v>
                </c:pt>
                <c:pt idx="1">
                  <c:v>47.9</c:v>
                </c:pt>
                <c:pt idx="2">
                  <c:v>77</c:v>
                </c:pt>
                <c:pt idx="3">
                  <c:v>79</c:v>
                </c:pt>
                <c:pt idx="4">
                  <c:v>78</c:v>
                </c:pt>
                <c:pt idx="5">
                  <c:v>65.08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2A-D149-ADD5-AB799E1ED1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3642032"/>
        <c:axId val="803643760"/>
      </c:barChart>
      <c:catAx>
        <c:axId val="803642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03643760"/>
        <c:crosses val="autoZero"/>
        <c:auto val="1"/>
        <c:lblAlgn val="ctr"/>
        <c:lblOffset val="100"/>
        <c:noMultiLvlLbl val="0"/>
      </c:catAx>
      <c:valAx>
        <c:axId val="803643760"/>
        <c:scaling>
          <c:orientation val="minMax"/>
          <c:max val="1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03642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 baseline="0"/>
              <a:t>  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Sheet1!$I$5</c:f>
              <c:strCache>
                <c:ptCount val="1"/>
                <c:pt idx="0">
                  <c:v>Use all sensors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Sheet1!$J$4:$O$4</c:f>
              <c:strCache>
                <c:ptCount val="6"/>
                <c:pt idx="0">
                  <c:v>Stand</c:v>
                </c:pt>
                <c:pt idx="1">
                  <c:v>Tilt​</c:v>
                </c:pt>
                <c:pt idx="2">
                  <c:v>Bow</c:v>
                </c:pt>
                <c:pt idx="3">
                  <c:v>Stand and Sit</c:v>
                </c:pt>
                <c:pt idx="4">
                  <c:v>Squat​</c:v>
                </c:pt>
                <c:pt idx="5">
                  <c:v>Average</c:v>
                </c:pt>
              </c:strCache>
            </c:strRef>
          </c:cat>
          <c:val>
            <c:numRef>
              <c:f>Sheet1!$J$5:$O$5</c:f>
              <c:numCache>
                <c:formatCode>General</c:formatCode>
                <c:ptCount val="6"/>
                <c:pt idx="0">
                  <c:v>52.6</c:v>
                </c:pt>
                <c:pt idx="1">
                  <c:v>48.9</c:v>
                </c:pt>
                <c:pt idx="2">
                  <c:v>63.7</c:v>
                </c:pt>
                <c:pt idx="3">
                  <c:v>70.099999999999994</c:v>
                </c:pt>
                <c:pt idx="4">
                  <c:v>75.2</c:v>
                </c:pt>
                <c:pt idx="5">
                  <c:v>62.1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81-3940-958D-8A4726405A88}"/>
            </c:ext>
          </c:extLst>
        </c:ser>
        <c:ser>
          <c:idx val="1"/>
          <c:order val="1"/>
          <c:tx>
            <c:strRef>
              <c:f>Sheet1!$I$6</c:f>
              <c:strCache>
                <c:ptCount val="1"/>
                <c:pt idx="0">
                  <c:v>Exclude IMU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Sheet1!$J$4:$O$4</c:f>
              <c:strCache>
                <c:ptCount val="6"/>
                <c:pt idx="0">
                  <c:v>Stand</c:v>
                </c:pt>
                <c:pt idx="1">
                  <c:v>Tilt​</c:v>
                </c:pt>
                <c:pt idx="2">
                  <c:v>Bow</c:v>
                </c:pt>
                <c:pt idx="3">
                  <c:v>Stand and Sit</c:v>
                </c:pt>
                <c:pt idx="4">
                  <c:v>Squat​</c:v>
                </c:pt>
                <c:pt idx="5">
                  <c:v>Average</c:v>
                </c:pt>
              </c:strCache>
            </c:strRef>
          </c:cat>
          <c:val>
            <c:numRef>
              <c:f>Sheet1!$J$6:$O$6</c:f>
              <c:numCache>
                <c:formatCode>General</c:formatCode>
                <c:ptCount val="6"/>
                <c:pt idx="0">
                  <c:v>56.8</c:v>
                </c:pt>
                <c:pt idx="1">
                  <c:v>77.5</c:v>
                </c:pt>
                <c:pt idx="2">
                  <c:v>82.3</c:v>
                </c:pt>
                <c:pt idx="3">
                  <c:v>79.900000000000006</c:v>
                </c:pt>
                <c:pt idx="4">
                  <c:v>88</c:v>
                </c:pt>
                <c:pt idx="5">
                  <c:v>76.900000000000006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81-3940-958D-8A4726405A88}"/>
            </c:ext>
          </c:extLst>
        </c:ser>
        <c:ser>
          <c:idx val="2"/>
          <c:order val="2"/>
          <c:tx>
            <c:strRef>
              <c:f>Sheet1!$I$7</c:f>
              <c:strCache>
                <c:ptCount val="1"/>
                <c:pt idx="0">
                  <c:v>Sensor pattern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Sheet1!$J$4:$O$4</c:f>
              <c:strCache>
                <c:ptCount val="6"/>
                <c:pt idx="0">
                  <c:v>Stand</c:v>
                </c:pt>
                <c:pt idx="1">
                  <c:v>Tilt​</c:v>
                </c:pt>
                <c:pt idx="2">
                  <c:v>Bow</c:v>
                </c:pt>
                <c:pt idx="3">
                  <c:v>Stand and Sit</c:v>
                </c:pt>
                <c:pt idx="4">
                  <c:v>Squat​</c:v>
                </c:pt>
                <c:pt idx="5">
                  <c:v>Average</c:v>
                </c:pt>
              </c:strCache>
            </c:strRef>
          </c:cat>
          <c:val>
            <c:numRef>
              <c:f>Sheet1!$J$7:$O$7</c:f>
              <c:numCache>
                <c:formatCode>General</c:formatCode>
                <c:ptCount val="6"/>
                <c:pt idx="0">
                  <c:v>68.900000000000006</c:v>
                </c:pt>
                <c:pt idx="1">
                  <c:v>62.8</c:v>
                </c:pt>
                <c:pt idx="2">
                  <c:v>86.4</c:v>
                </c:pt>
                <c:pt idx="3">
                  <c:v>80.599999999999994</c:v>
                </c:pt>
                <c:pt idx="4">
                  <c:v>89</c:v>
                </c:pt>
                <c:pt idx="5">
                  <c:v>77.539999999999992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81-3940-958D-8A4726405A88}"/>
            </c:ext>
          </c:extLst>
        </c:ser>
        <c:ser>
          <c:idx val="3"/>
          <c:order val="3"/>
          <c:tx>
            <c:strRef>
              <c:f>Sheet1!$I$8</c:f>
              <c:strCache>
                <c:ptCount val="1"/>
                <c:pt idx="0">
                  <c:v>Sensor pattern 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Sheet1!$J$4:$O$4</c:f>
              <c:strCache>
                <c:ptCount val="6"/>
                <c:pt idx="0">
                  <c:v>Stand</c:v>
                </c:pt>
                <c:pt idx="1">
                  <c:v>Tilt​</c:v>
                </c:pt>
                <c:pt idx="2">
                  <c:v>Bow</c:v>
                </c:pt>
                <c:pt idx="3">
                  <c:v>Stand and Sit</c:v>
                </c:pt>
                <c:pt idx="4">
                  <c:v>Squat​</c:v>
                </c:pt>
                <c:pt idx="5">
                  <c:v>Average</c:v>
                </c:pt>
              </c:strCache>
            </c:strRef>
          </c:cat>
          <c:val>
            <c:numRef>
              <c:f>Sheet1!$J$8:$O$8</c:f>
              <c:numCache>
                <c:formatCode>General</c:formatCode>
                <c:ptCount val="6"/>
                <c:pt idx="0">
                  <c:v>78.7</c:v>
                </c:pt>
                <c:pt idx="1">
                  <c:v>86.1</c:v>
                </c:pt>
                <c:pt idx="2">
                  <c:v>74.2</c:v>
                </c:pt>
                <c:pt idx="3">
                  <c:v>122.9</c:v>
                </c:pt>
                <c:pt idx="4">
                  <c:v>135.19999999999999</c:v>
                </c:pt>
                <c:pt idx="5">
                  <c:v>99.419999999999987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D81-3940-958D-8A4726405A88}"/>
            </c:ext>
          </c:extLst>
        </c:ser>
        <c:ser>
          <c:idx val="4"/>
          <c:order val="4"/>
          <c:tx>
            <c:strRef>
              <c:f>Sheet1!$I$9</c:f>
              <c:strCache>
                <c:ptCount val="1"/>
                <c:pt idx="0">
                  <c:v>Sensor pattern 3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Sheet1!$J$4:$O$4</c:f>
              <c:strCache>
                <c:ptCount val="6"/>
                <c:pt idx="0">
                  <c:v>Stand</c:v>
                </c:pt>
                <c:pt idx="1">
                  <c:v>Tilt​</c:v>
                </c:pt>
                <c:pt idx="2">
                  <c:v>Bow</c:v>
                </c:pt>
                <c:pt idx="3">
                  <c:v>Stand and Sit</c:v>
                </c:pt>
                <c:pt idx="4">
                  <c:v>Squat​</c:v>
                </c:pt>
                <c:pt idx="5">
                  <c:v>Average</c:v>
                </c:pt>
              </c:strCache>
            </c:strRef>
          </c:cat>
          <c:val>
            <c:numRef>
              <c:f>Sheet1!$J$9:$O$9</c:f>
              <c:numCache>
                <c:formatCode>General</c:formatCode>
                <c:ptCount val="6"/>
                <c:pt idx="0">
                  <c:v>79.3</c:v>
                </c:pt>
                <c:pt idx="1">
                  <c:v>67.7</c:v>
                </c:pt>
                <c:pt idx="2">
                  <c:v>95.5</c:v>
                </c:pt>
                <c:pt idx="3">
                  <c:v>99.6</c:v>
                </c:pt>
                <c:pt idx="4">
                  <c:v>136.80000000000001</c:v>
                </c:pt>
                <c:pt idx="5">
                  <c:v>95.78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D81-3940-958D-8A4726405A88}"/>
            </c:ext>
          </c:extLst>
        </c:ser>
        <c:ser>
          <c:idx val="5"/>
          <c:order val="5"/>
          <c:tx>
            <c:strRef>
              <c:f>Sheet1!$I$10</c:f>
              <c:strCache>
                <c:ptCount val="1"/>
                <c:pt idx="0">
                  <c:v>Sensor pattern 4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Sheet1!$J$4:$O$4</c:f>
              <c:strCache>
                <c:ptCount val="6"/>
                <c:pt idx="0">
                  <c:v>Stand</c:v>
                </c:pt>
                <c:pt idx="1">
                  <c:v>Tilt​</c:v>
                </c:pt>
                <c:pt idx="2">
                  <c:v>Bow</c:v>
                </c:pt>
                <c:pt idx="3">
                  <c:v>Stand and Sit</c:v>
                </c:pt>
                <c:pt idx="4">
                  <c:v>Squat​</c:v>
                </c:pt>
                <c:pt idx="5">
                  <c:v>Average</c:v>
                </c:pt>
              </c:strCache>
            </c:strRef>
          </c:cat>
          <c:val>
            <c:numRef>
              <c:f>Sheet1!$J$10:$O$10</c:f>
              <c:numCache>
                <c:formatCode>General</c:formatCode>
                <c:ptCount val="6"/>
                <c:pt idx="0">
                  <c:v>78.7</c:v>
                </c:pt>
                <c:pt idx="1">
                  <c:v>82.9</c:v>
                </c:pt>
                <c:pt idx="2">
                  <c:v>77.2</c:v>
                </c:pt>
                <c:pt idx="3">
                  <c:v>88.1</c:v>
                </c:pt>
                <c:pt idx="4">
                  <c:v>124.2</c:v>
                </c:pt>
                <c:pt idx="5">
                  <c:v>90.22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D81-3940-958D-8A4726405A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6873200"/>
        <c:axId val="476874912"/>
      </c:barChart>
      <c:catAx>
        <c:axId val="476873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76874912"/>
        <c:crosses val="autoZero"/>
        <c:auto val="1"/>
        <c:lblAlgn val="ctr"/>
        <c:lblOffset val="100"/>
        <c:noMultiLvlLbl val="0"/>
      </c:catAx>
      <c:valAx>
        <c:axId val="476874912"/>
        <c:scaling>
          <c:orientation val="minMax"/>
          <c:max val="1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76873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Sheet1!$J$4</c:f>
              <c:strCache>
                <c:ptCount val="1"/>
                <c:pt idx="0">
                  <c:v>Stand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Sheet1!$I$5:$I$12</c:f>
              <c:strCache>
                <c:ptCount val="8"/>
                <c:pt idx="0">
                  <c:v>Use all sensors</c:v>
                </c:pt>
                <c:pt idx="1">
                  <c:v>Exclude IMU</c:v>
                </c:pt>
                <c:pt idx="2">
                  <c:v>Sensor pattern 1</c:v>
                </c:pt>
                <c:pt idx="3">
                  <c:v>Sensor pattern 2</c:v>
                </c:pt>
                <c:pt idx="4">
                  <c:v>Sensor pattern 3</c:v>
                </c:pt>
                <c:pt idx="5">
                  <c:v>Sensor pattern 4</c:v>
                </c:pt>
                <c:pt idx="6">
                  <c:v>分散でtop17</c:v>
                </c:pt>
                <c:pt idx="7">
                  <c:v>PCAでtop17</c:v>
                </c:pt>
              </c:strCache>
            </c:strRef>
          </c:cat>
          <c:val>
            <c:numRef>
              <c:f>Sheet1!$J$5:$J$12</c:f>
              <c:numCache>
                <c:formatCode>General</c:formatCode>
                <c:ptCount val="8"/>
                <c:pt idx="0">
                  <c:v>52.6</c:v>
                </c:pt>
                <c:pt idx="1">
                  <c:v>56.8</c:v>
                </c:pt>
                <c:pt idx="2">
                  <c:v>68.900000000000006</c:v>
                </c:pt>
                <c:pt idx="3">
                  <c:v>78.7</c:v>
                </c:pt>
                <c:pt idx="4">
                  <c:v>79.3</c:v>
                </c:pt>
                <c:pt idx="5">
                  <c:v>78.7</c:v>
                </c:pt>
                <c:pt idx="6">
                  <c:v>73.099999999999994</c:v>
                </c:pt>
                <c:pt idx="7">
                  <c:v>84.2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BA-314E-83ED-8CC76DF9A54A}"/>
            </c:ext>
          </c:extLst>
        </c:ser>
        <c:ser>
          <c:idx val="1"/>
          <c:order val="1"/>
          <c:tx>
            <c:strRef>
              <c:f>Sheet1!$K$4</c:f>
              <c:strCache>
                <c:ptCount val="1"/>
                <c:pt idx="0">
                  <c:v>Tilt​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Sheet1!$I$5:$I$12</c:f>
              <c:strCache>
                <c:ptCount val="8"/>
                <c:pt idx="0">
                  <c:v>Use all sensors</c:v>
                </c:pt>
                <c:pt idx="1">
                  <c:v>Exclude IMU</c:v>
                </c:pt>
                <c:pt idx="2">
                  <c:v>Sensor pattern 1</c:v>
                </c:pt>
                <c:pt idx="3">
                  <c:v>Sensor pattern 2</c:v>
                </c:pt>
                <c:pt idx="4">
                  <c:v>Sensor pattern 3</c:v>
                </c:pt>
                <c:pt idx="5">
                  <c:v>Sensor pattern 4</c:v>
                </c:pt>
                <c:pt idx="6">
                  <c:v>分散でtop17</c:v>
                </c:pt>
                <c:pt idx="7">
                  <c:v>PCAでtop17</c:v>
                </c:pt>
              </c:strCache>
            </c:strRef>
          </c:cat>
          <c:val>
            <c:numRef>
              <c:f>Sheet1!$K$5:$K$12</c:f>
              <c:numCache>
                <c:formatCode>General</c:formatCode>
                <c:ptCount val="8"/>
                <c:pt idx="0">
                  <c:v>48.9</c:v>
                </c:pt>
                <c:pt idx="1">
                  <c:v>77.5</c:v>
                </c:pt>
                <c:pt idx="2">
                  <c:v>62.8</c:v>
                </c:pt>
                <c:pt idx="3">
                  <c:v>86.1</c:v>
                </c:pt>
                <c:pt idx="4">
                  <c:v>67.7</c:v>
                </c:pt>
                <c:pt idx="5">
                  <c:v>82.9</c:v>
                </c:pt>
                <c:pt idx="6">
                  <c:v>75.2</c:v>
                </c:pt>
                <c:pt idx="7">
                  <c:v>82.9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BA-314E-83ED-8CC76DF9A54A}"/>
            </c:ext>
          </c:extLst>
        </c:ser>
        <c:ser>
          <c:idx val="2"/>
          <c:order val="2"/>
          <c:tx>
            <c:strRef>
              <c:f>Sheet1!$L$4</c:f>
              <c:strCache>
                <c:ptCount val="1"/>
                <c:pt idx="0">
                  <c:v>Bow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Sheet1!$I$5:$I$12</c:f>
              <c:strCache>
                <c:ptCount val="8"/>
                <c:pt idx="0">
                  <c:v>Use all sensors</c:v>
                </c:pt>
                <c:pt idx="1">
                  <c:v>Exclude IMU</c:v>
                </c:pt>
                <c:pt idx="2">
                  <c:v>Sensor pattern 1</c:v>
                </c:pt>
                <c:pt idx="3">
                  <c:v>Sensor pattern 2</c:v>
                </c:pt>
                <c:pt idx="4">
                  <c:v>Sensor pattern 3</c:v>
                </c:pt>
                <c:pt idx="5">
                  <c:v>Sensor pattern 4</c:v>
                </c:pt>
                <c:pt idx="6">
                  <c:v>分散でtop17</c:v>
                </c:pt>
                <c:pt idx="7">
                  <c:v>PCAでtop17</c:v>
                </c:pt>
              </c:strCache>
            </c:strRef>
          </c:cat>
          <c:val>
            <c:numRef>
              <c:f>Sheet1!$L$5:$L$12</c:f>
              <c:numCache>
                <c:formatCode>General</c:formatCode>
                <c:ptCount val="8"/>
                <c:pt idx="0">
                  <c:v>63.7</c:v>
                </c:pt>
                <c:pt idx="1">
                  <c:v>82.3</c:v>
                </c:pt>
                <c:pt idx="2">
                  <c:v>86.4</c:v>
                </c:pt>
                <c:pt idx="3">
                  <c:v>74.2</c:v>
                </c:pt>
                <c:pt idx="4">
                  <c:v>95.5</c:v>
                </c:pt>
                <c:pt idx="5">
                  <c:v>77.2</c:v>
                </c:pt>
                <c:pt idx="6">
                  <c:v>89.2</c:v>
                </c:pt>
                <c:pt idx="7">
                  <c:v>90.3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BA-314E-83ED-8CC76DF9A54A}"/>
            </c:ext>
          </c:extLst>
        </c:ser>
        <c:ser>
          <c:idx val="3"/>
          <c:order val="3"/>
          <c:tx>
            <c:strRef>
              <c:f>Sheet1!$M$4</c:f>
              <c:strCache>
                <c:ptCount val="1"/>
                <c:pt idx="0">
                  <c:v>Stand and Sit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Sheet1!$I$5:$I$12</c:f>
              <c:strCache>
                <c:ptCount val="8"/>
                <c:pt idx="0">
                  <c:v>Use all sensors</c:v>
                </c:pt>
                <c:pt idx="1">
                  <c:v>Exclude IMU</c:v>
                </c:pt>
                <c:pt idx="2">
                  <c:v>Sensor pattern 1</c:v>
                </c:pt>
                <c:pt idx="3">
                  <c:v>Sensor pattern 2</c:v>
                </c:pt>
                <c:pt idx="4">
                  <c:v>Sensor pattern 3</c:v>
                </c:pt>
                <c:pt idx="5">
                  <c:v>Sensor pattern 4</c:v>
                </c:pt>
                <c:pt idx="6">
                  <c:v>分散でtop17</c:v>
                </c:pt>
                <c:pt idx="7">
                  <c:v>PCAでtop17</c:v>
                </c:pt>
              </c:strCache>
            </c:strRef>
          </c:cat>
          <c:val>
            <c:numRef>
              <c:f>Sheet1!$M$5:$M$12</c:f>
              <c:numCache>
                <c:formatCode>General</c:formatCode>
                <c:ptCount val="8"/>
                <c:pt idx="0">
                  <c:v>70.099999999999994</c:v>
                </c:pt>
                <c:pt idx="1">
                  <c:v>79.900000000000006</c:v>
                </c:pt>
                <c:pt idx="2">
                  <c:v>80.599999999999994</c:v>
                </c:pt>
                <c:pt idx="3">
                  <c:v>122.9</c:v>
                </c:pt>
                <c:pt idx="4">
                  <c:v>99.6</c:v>
                </c:pt>
                <c:pt idx="5">
                  <c:v>88.1</c:v>
                </c:pt>
                <c:pt idx="6">
                  <c:v>95.4</c:v>
                </c:pt>
                <c:pt idx="7">
                  <c:v>92.2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4BA-314E-83ED-8CC76DF9A54A}"/>
            </c:ext>
          </c:extLst>
        </c:ser>
        <c:ser>
          <c:idx val="4"/>
          <c:order val="4"/>
          <c:tx>
            <c:strRef>
              <c:f>Sheet1!$N$4</c:f>
              <c:strCache>
                <c:ptCount val="1"/>
                <c:pt idx="0">
                  <c:v>Squat​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Sheet1!$I$5:$I$12</c:f>
              <c:strCache>
                <c:ptCount val="8"/>
                <c:pt idx="0">
                  <c:v>Use all sensors</c:v>
                </c:pt>
                <c:pt idx="1">
                  <c:v>Exclude IMU</c:v>
                </c:pt>
                <c:pt idx="2">
                  <c:v>Sensor pattern 1</c:v>
                </c:pt>
                <c:pt idx="3">
                  <c:v>Sensor pattern 2</c:v>
                </c:pt>
                <c:pt idx="4">
                  <c:v>Sensor pattern 3</c:v>
                </c:pt>
                <c:pt idx="5">
                  <c:v>Sensor pattern 4</c:v>
                </c:pt>
                <c:pt idx="6">
                  <c:v>分散でtop17</c:v>
                </c:pt>
                <c:pt idx="7">
                  <c:v>PCAでtop17</c:v>
                </c:pt>
              </c:strCache>
            </c:strRef>
          </c:cat>
          <c:val>
            <c:numRef>
              <c:f>Sheet1!$N$5:$N$12</c:f>
              <c:numCache>
                <c:formatCode>General</c:formatCode>
                <c:ptCount val="8"/>
                <c:pt idx="0">
                  <c:v>75.2</c:v>
                </c:pt>
                <c:pt idx="1">
                  <c:v>88</c:v>
                </c:pt>
                <c:pt idx="2">
                  <c:v>89</c:v>
                </c:pt>
                <c:pt idx="3">
                  <c:v>135.19999999999999</c:v>
                </c:pt>
                <c:pt idx="4">
                  <c:v>136.80000000000001</c:v>
                </c:pt>
                <c:pt idx="5">
                  <c:v>124.2</c:v>
                </c:pt>
                <c:pt idx="6">
                  <c:v>124.6</c:v>
                </c:pt>
                <c:pt idx="7">
                  <c:v>128.5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4BA-314E-83ED-8CC76DF9A54A}"/>
            </c:ext>
          </c:extLst>
        </c:ser>
        <c:ser>
          <c:idx val="5"/>
          <c:order val="5"/>
          <c:tx>
            <c:strRef>
              <c:f>Sheet1!$O$4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Sheet1!$I$5:$I$12</c:f>
              <c:strCache>
                <c:ptCount val="8"/>
                <c:pt idx="0">
                  <c:v>Use all sensors</c:v>
                </c:pt>
                <c:pt idx="1">
                  <c:v>Exclude IMU</c:v>
                </c:pt>
                <c:pt idx="2">
                  <c:v>Sensor pattern 1</c:v>
                </c:pt>
                <c:pt idx="3">
                  <c:v>Sensor pattern 2</c:v>
                </c:pt>
                <c:pt idx="4">
                  <c:v>Sensor pattern 3</c:v>
                </c:pt>
                <c:pt idx="5">
                  <c:v>Sensor pattern 4</c:v>
                </c:pt>
                <c:pt idx="6">
                  <c:v>分散でtop17</c:v>
                </c:pt>
                <c:pt idx="7">
                  <c:v>PCAでtop17</c:v>
                </c:pt>
              </c:strCache>
            </c:strRef>
          </c:cat>
          <c:val>
            <c:numRef>
              <c:f>Sheet1!$O$5:$O$12</c:f>
              <c:numCache>
                <c:formatCode>General</c:formatCode>
                <c:ptCount val="8"/>
                <c:pt idx="0">
                  <c:v>62.1</c:v>
                </c:pt>
                <c:pt idx="1">
                  <c:v>76.900000000000006</c:v>
                </c:pt>
                <c:pt idx="2">
                  <c:v>77.539999999999992</c:v>
                </c:pt>
                <c:pt idx="3">
                  <c:v>99.419999999999987</c:v>
                </c:pt>
                <c:pt idx="4">
                  <c:v>95.78</c:v>
                </c:pt>
                <c:pt idx="5">
                  <c:v>90.22</c:v>
                </c:pt>
                <c:pt idx="6">
                  <c:v>91.5</c:v>
                </c:pt>
                <c:pt idx="7">
                  <c:v>95.62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4BA-314E-83ED-8CC76DF9A5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4859983"/>
        <c:axId val="1992234192"/>
      </c:barChart>
      <c:catAx>
        <c:axId val="584859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92234192"/>
        <c:crosses val="autoZero"/>
        <c:auto val="1"/>
        <c:lblAlgn val="ctr"/>
        <c:lblOffset val="100"/>
        <c:noMultiLvlLbl val="0"/>
      </c:catAx>
      <c:valAx>
        <c:axId val="1992234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84859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952500</xdr:colOff>
      <xdr:row>33</xdr:row>
      <xdr:rowOff>44450</xdr:rowOff>
    </xdr:from>
    <xdr:to>
      <xdr:col>14</xdr:col>
      <xdr:colOff>508000</xdr:colOff>
      <xdr:row>45</xdr:row>
      <xdr:rowOff>19050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5E8BE41A-BAE1-BBFE-C300-86A26E3EFD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14768</xdr:colOff>
      <xdr:row>29</xdr:row>
      <xdr:rowOff>14766</xdr:rowOff>
    </xdr:from>
    <xdr:to>
      <xdr:col>22</xdr:col>
      <xdr:colOff>44302</xdr:colOff>
      <xdr:row>41</xdr:row>
      <xdr:rowOff>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3B7623A5-1CBE-FF03-A60E-74EDE8E50F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15</xdr:col>
      <xdr:colOff>930349</xdr:colOff>
      <xdr:row>29</xdr:row>
      <xdr:rowOff>132907</xdr:rowOff>
    </xdr:from>
    <xdr:ext cx="491673" cy="264431"/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494FBAEA-029F-C83C-E063-2B1787A6F463}"/>
            </a:ext>
          </a:extLst>
        </xdr:cNvPr>
        <xdr:cNvSpPr txBox="1"/>
      </xdr:nvSpPr>
      <xdr:spPr>
        <a:xfrm>
          <a:off x="17735698" y="7531395"/>
          <a:ext cx="491673" cy="2644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 kern="1200"/>
            <a:t>(mm)</a:t>
          </a:r>
        </a:p>
      </xdr:txBody>
    </xdr:sp>
    <xdr:clientData/>
  </xdr:oneCellAnchor>
  <xdr:oneCellAnchor>
    <xdr:from>
      <xdr:col>8</xdr:col>
      <xdr:colOff>905687</xdr:colOff>
      <xdr:row>34</xdr:row>
      <xdr:rowOff>10485</xdr:rowOff>
    </xdr:from>
    <xdr:ext cx="491673" cy="264431"/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6CB94E0F-ED44-6E44-8FF2-D70561CF1961}"/>
            </a:ext>
          </a:extLst>
        </xdr:cNvPr>
        <xdr:cNvSpPr txBox="1"/>
      </xdr:nvSpPr>
      <xdr:spPr>
        <a:xfrm>
          <a:off x="10392587" y="8602035"/>
          <a:ext cx="491673" cy="2644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 kern="1200"/>
            <a:t>(mm)</a:t>
          </a:r>
        </a:p>
      </xdr:txBody>
    </xdr:sp>
    <xdr:clientData/>
  </xdr:oneCellAnchor>
  <xdr:twoCellAnchor>
    <xdr:from>
      <xdr:col>16</xdr:col>
      <xdr:colOff>694070</xdr:colOff>
      <xdr:row>0</xdr:row>
      <xdr:rowOff>215606</xdr:rowOff>
    </xdr:from>
    <xdr:to>
      <xdr:col>26</xdr:col>
      <xdr:colOff>115186</xdr:colOff>
      <xdr:row>13</xdr:row>
      <xdr:rowOff>103078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671BB559-A18F-2554-9959-F913B3DAA9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16</xdr:col>
      <xdr:colOff>638839</xdr:colOff>
      <xdr:row>1</xdr:row>
      <xdr:rowOff>12701</xdr:rowOff>
    </xdr:from>
    <xdr:ext cx="491673" cy="279494"/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F7871751-FA5C-524A-827F-A58E138D21D8}"/>
            </a:ext>
          </a:extLst>
        </xdr:cNvPr>
        <xdr:cNvSpPr txBox="1"/>
      </xdr:nvSpPr>
      <xdr:spPr>
        <a:xfrm>
          <a:off x="18304539" y="266701"/>
          <a:ext cx="491673" cy="2794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1100" kern="1200"/>
            <a:t>(mm)</a:t>
          </a:r>
        </a:p>
      </xdr:txBody>
    </xdr:sp>
    <xdr:clientData/>
  </xdr:oneCellAnchor>
  <xdr:twoCellAnchor>
    <xdr:from>
      <xdr:col>8</xdr:col>
      <xdr:colOff>1066800</xdr:colOff>
      <xdr:row>11</xdr:row>
      <xdr:rowOff>190500</xdr:rowOff>
    </xdr:from>
    <xdr:to>
      <xdr:col>15</xdr:col>
      <xdr:colOff>450850</xdr:colOff>
      <xdr:row>23</xdr:row>
      <xdr:rowOff>241300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32CD9B09-2233-37E0-A65A-2476DBADFB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6F23D-56C1-404C-A0D2-9F0144372AB2}">
  <dimension ref="A1:W54"/>
  <sheetViews>
    <sheetView tabSelected="1" topLeftCell="H1" workbookViewId="0">
      <selection activeCell="J31" sqref="J31"/>
    </sheetView>
  </sheetViews>
  <sheetFormatPr defaultColWidth="11.5546875" defaultRowHeight="19.5" x14ac:dyDescent="0.4"/>
  <cols>
    <col min="1" max="1" width="18.88671875" customWidth="1"/>
    <col min="2" max="2" width="15.5546875" customWidth="1"/>
    <col min="5" max="5" width="18.44140625" customWidth="1"/>
    <col min="9" max="9" width="17.33203125" customWidth="1"/>
  </cols>
  <sheetData>
    <row r="1" spans="1:15" x14ac:dyDescent="0.4">
      <c r="A1" t="s">
        <v>0</v>
      </c>
    </row>
    <row r="2" spans="1:15" x14ac:dyDescent="0.4">
      <c r="A2" t="s">
        <v>1</v>
      </c>
      <c r="B2" t="s">
        <v>2</v>
      </c>
      <c r="C2" t="s">
        <v>3</v>
      </c>
      <c r="D2" t="s">
        <v>4</v>
      </c>
      <c r="E2" t="s">
        <v>11</v>
      </c>
      <c r="F2" t="s">
        <v>5</v>
      </c>
      <c r="G2" t="s">
        <v>13</v>
      </c>
    </row>
    <row r="3" spans="1:15" ht="24" x14ac:dyDescent="0.4">
      <c r="A3" s="1" t="s">
        <v>6</v>
      </c>
      <c r="B3" s="1">
        <v>52.6</v>
      </c>
      <c r="C3" s="1">
        <v>48.9</v>
      </c>
      <c r="D3" s="1">
        <v>63.7</v>
      </c>
      <c r="E3" s="1">
        <v>70.099999999999994</v>
      </c>
      <c r="F3" s="1">
        <v>75.2</v>
      </c>
      <c r="G3" s="1">
        <f>AVERAGE(B3:F3)</f>
        <v>62.1</v>
      </c>
      <c r="I3" s="2" t="s">
        <v>20</v>
      </c>
    </row>
    <row r="4" spans="1:15" x14ac:dyDescent="0.4">
      <c r="A4" s="1" t="s">
        <v>7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f t="shared" ref="G4:G23" si="0">AVERAGE(B4:F4)</f>
        <v>0</v>
      </c>
      <c r="I4" t="s">
        <v>1</v>
      </c>
      <c r="J4" t="s">
        <v>21</v>
      </c>
      <c r="K4" t="s">
        <v>22</v>
      </c>
      <c r="L4" t="s">
        <v>23</v>
      </c>
      <c r="M4" t="s">
        <v>24</v>
      </c>
      <c r="N4" t="s">
        <v>25</v>
      </c>
      <c r="O4" t="s">
        <v>13</v>
      </c>
    </row>
    <row r="5" spans="1:15" x14ac:dyDescent="0.4">
      <c r="A5" s="1" t="s">
        <v>8</v>
      </c>
      <c r="B5" s="1">
        <v>454.4</v>
      </c>
      <c r="C5" s="1">
        <v>515.5</v>
      </c>
      <c r="D5" s="1">
        <v>418.3</v>
      </c>
      <c r="E5" s="1">
        <v>415.8</v>
      </c>
      <c r="F5" s="1">
        <v>534.5</v>
      </c>
      <c r="G5" s="1">
        <f t="shared" si="0"/>
        <v>467.7</v>
      </c>
      <c r="I5" s="1" t="s">
        <v>37</v>
      </c>
      <c r="J5" s="1">
        <v>52.6</v>
      </c>
      <c r="K5" s="1">
        <v>48.9</v>
      </c>
      <c r="L5" s="1">
        <v>63.7</v>
      </c>
      <c r="M5" s="1">
        <v>70.099999999999994</v>
      </c>
      <c r="N5" s="1">
        <v>75.2</v>
      </c>
      <c r="O5" s="1">
        <f>AVERAGE(J5:N5)</f>
        <v>62.1</v>
      </c>
    </row>
    <row r="6" spans="1:15" x14ac:dyDescent="0.4">
      <c r="A6" s="1" t="s">
        <v>9</v>
      </c>
      <c r="B6" s="1">
        <v>37.4</v>
      </c>
      <c r="C6" s="1">
        <v>34.6</v>
      </c>
      <c r="D6" s="1">
        <v>47.9</v>
      </c>
      <c r="E6" s="1">
        <v>47.4</v>
      </c>
      <c r="F6" s="1">
        <v>46.1</v>
      </c>
      <c r="G6" s="1">
        <f t="shared" si="0"/>
        <v>42.68</v>
      </c>
      <c r="I6" s="1" t="s">
        <v>36</v>
      </c>
      <c r="J6" s="1">
        <v>56.8</v>
      </c>
      <c r="K6" s="1">
        <v>77.5</v>
      </c>
      <c r="L6" s="1">
        <v>82.3</v>
      </c>
      <c r="M6" s="1">
        <v>79.900000000000006</v>
      </c>
      <c r="N6" s="1">
        <v>88</v>
      </c>
      <c r="O6" s="1">
        <f t="shared" ref="O6:O12" si="1">AVERAGE(J6:N6)</f>
        <v>76.900000000000006</v>
      </c>
    </row>
    <row r="7" spans="1:15" x14ac:dyDescent="0.4">
      <c r="A7" s="1" t="s">
        <v>10</v>
      </c>
      <c r="B7" s="1">
        <v>54</v>
      </c>
      <c r="C7" s="1">
        <v>52.6</v>
      </c>
      <c r="D7" s="1">
        <v>58.5</v>
      </c>
      <c r="E7" s="1">
        <v>68.2</v>
      </c>
      <c r="F7" s="1">
        <v>84</v>
      </c>
      <c r="G7" s="1">
        <f t="shared" si="0"/>
        <v>63.46</v>
      </c>
      <c r="I7" t="s">
        <v>38</v>
      </c>
      <c r="J7">
        <v>68.900000000000006</v>
      </c>
      <c r="K7">
        <v>62.8</v>
      </c>
      <c r="L7">
        <v>86.4</v>
      </c>
      <c r="M7">
        <v>80.599999999999994</v>
      </c>
      <c r="N7">
        <v>89</v>
      </c>
      <c r="O7" s="1">
        <f t="shared" si="1"/>
        <v>77.539999999999992</v>
      </c>
    </row>
    <row r="8" spans="1:15" x14ac:dyDescent="0.4">
      <c r="A8" s="1"/>
      <c r="B8" s="1"/>
      <c r="C8" s="1"/>
      <c r="D8" s="1"/>
      <c r="E8" s="1"/>
      <c r="F8" s="1"/>
      <c r="G8" s="1"/>
      <c r="I8" t="s">
        <v>39</v>
      </c>
      <c r="J8">
        <v>78.7</v>
      </c>
      <c r="K8">
        <v>86.1</v>
      </c>
      <c r="L8">
        <v>74.2</v>
      </c>
      <c r="M8">
        <v>122.9</v>
      </c>
      <c r="N8">
        <v>135.19999999999999</v>
      </c>
      <c r="O8" s="1">
        <f t="shared" si="1"/>
        <v>99.419999999999987</v>
      </c>
    </row>
    <row r="9" spans="1:15" x14ac:dyDescent="0.4">
      <c r="G9" s="1"/>
      <c r="I9" t="s">
        <v>40</v>
      </c>
      <c r="J9">
        <v>79.3</v>
      </c>
      <c r="K9">
        <v>67.7</v>
      </c>
      <c r="L9">
        <v>95.5</v>
      </c>
      <c r="M9">
        <v>99.6</v>
      </c>
      <c r="N9">
        <v>136.80000000000001</v>
      </c>
      <c r="O9" s="1">
        <f t="shared" si="1"/>
        <v>95.78</v>
      </c>
    </row>
    <row r="10" spans="1:15" x14ac:dyDescent="0.4">
      <c r="A10" s="1" t="s">
        <v>12</v>
      </c>
      <c r="G10" s="1"/>
      <c r="I10" t="s">
        <v>41</v>
      </c>
      <c r="J10">
        <v>78.7</v>
      </c>
      <c r="K10">
        <v>82.9</v>
      </c>
      <c r="L10">
        <v>77.2</v>
      </c>
      <c r="M10">
        <v>88.1</v>
      </c>
      <c r="N10">
        <v>124.2</v>
      </c>
      <c r="O10" s="1">
        <f t="shared" si="1"/>
        <v>90.22</v>
      </c>
    </row>
    <row r="11" spans="1:15" x14ac:dyDescent="0.4">
      <c r="A11" s="1" t="s">
        <v>6</v>
      </c>
      <c r="B11" s="1">
        <v>59.3</v>
      </c>
      <c r="C11" s="1">
        <v>56.2</v>
      </c>
      <c r="D11" s="1">
        <v>94.8</v>
      </c>
      <c r="E11" s="1">
        <v>80.5</v>
      </c>
      <c r="F11" s="1">
        <v>95.9</v>
      </c>
      <c r="G11" s="1">
        <f t="shared" si="0"/>
        <v>77.34</v>
      </c>
      <c r="I11" t="s">
        <v>42</v>
      </c>
      <c r="J11">
        <v>73.099999999999994</v>
      </c>
      <c r="K11">
        <v>75.2</v>
      </c>
      <c r="L11">
        <v>89.2</v>
      </c>
      <c r="M11">
        <v>95.4</v>
      </c>
      <c r="N11">
        <v>124.6</v>
      </c>
      <c r="O11" s="1">
        <f t="shared" si="1"/>
        <v>91.5</v>
      </c>
    </row>
    <row r="12" spans="1:15" x14ac:dyDescent="0.4">
      <c r="A12" s="1" t="s">
        <v>7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f t="shared" si="0"/>
        <v>0</v>
      </c>
      <c r="I12" t="s">
        <v>43</v>
      </c>
      <c r="J12">
        <v>84.2</v>
      </c>
      <c r="K12">
        <v>82.9</v>
      </c>
      <c r="L12">
        <v>90.3</v>
      </c>
      <c r="M12">
        <v>92.2</v>
      </c>
      <c r="N12">
        <v>128.5</v>
      </c>
      <c r="O12" s="1">
        <f t="shared" si="1"/>
        <v>95.62</v>
      </c>
    </row>
    <row r="13" spans="1:15" x14ac:dyDescent="0.4">
      <c r="A13" s="1" t="s">
        <v>8</v>
      </c>
      <c r="B13" s="1">
        <v>489.6</v>
      </c>
      <c r="C13" s="1">
        <v>456.9</v>
      </c>
      <c r="D13" s="1">
        <v>427.6</v>
      </c>
      <c r="E13" s="1">
        <v>502.7</v>
      </c>
      <c r="F13" s="1">
        <v>415.2</v>
      </c>
      <c r="G13" s="1">
        <f t="shared" si="0"/>
        <v>458.4</v>
      </c>
    </row>
    <row r="14" spans="1:15" x14ac:dyDescent="0.4">
      <c r="A14" s="1" t="s">
        <v>9</v>
      </c>
      <c r="B14" s="1">
        <v>38.1</v>
      </c>
      <c r="C14" s="1">
        <v>39.1</v>
      </c>
      <c r="D14" s="1">
        <v>70.3</v>
      </c>
      <c r="E14" s="1">
        <v>55.7</v>
      </c>
      <c r="F14" s="1">
        <v>63.8</v>
      </c>
      <c r="G14" s="1">
        <f t="shared" si="0"/>
        <v>53.4</v>
      </c>
    </row>
    <row r="15" spans="1:15" x14ac:dyDescent="0.4">
      <c r="A15" s="1" t="s">
        <v>10</v>
      </c>
      <c r="B15" s="1">
        <v>66.7</v>
      </c>
      <c r="C15" s="1">
        <v>61.7</v>
      </c>
      <c r="D15" s="1">
        <v>84.1</v>
      </c>
      <c r="E15" s="1">
        <v>78.7</v>
      </c>
      <c r="F15" s="1">
        <v>92.3</v>
      </c>
      <c r="G15" s="1">
        <f t="shared" si="0"/>
        <v>76.7</v>
      </c>
    </row>
    <row r="16" spans="1:15" x14ac:dyDescent="0.4">
      <c r="G16" s="1"/>
    </row>
    <row r="17" spans="1:23" x14ac:dyDescent="0.4">
      <c r="G17" s="1"/>
    </row>
    <row r="18" spans="1:23" x14ac:dyDescent="0.4">
      <c r="A18" s="1" t="s">
        <v>14</v>
      </c>
      <c r="G18" s="1"/>
    </row>
    <row r="19" spans="1:23" x14ac:dyDescent="0.4">
      <c r="A19" s="1" t="s">
        <v>6</v>
      </c>
      <c r="B19" s="1">
        <v>56.8</v>
      </c>
      <c r="C19" s="1">
        <v>77.5</v>
      </c>
      <c r="D19" s="1">
        <v>82.3</v>
      </c>
      <c r="E19" s="1">
        <v>79.900000000000006</v>
      </c>
      <c r="F19" s="1">
        <v>88</v>
      </c>
      <c r="G19" s="1">
        <f t="shared" si="0"/>
        <v>76.900000000000006</v>
      </c>
    </row>
    <row r="20" spans="1:23" x14ac:dyDescent="0.4">
      <c r="A20" s="1" t="s">
        <v>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f t="shared" si="0"/>
        <v>0</v>
      </c>
    </row>
    <row r="21" spans="1:23" x14ac:dyDescent="0.4">
      <c r="A21" s="1" t="s">
        <v>8</v>
      </c>
      <c r="B21" s="1">
        <v>477.6</v>
      </c>
      <c r="C21" s="1">
        <v>467.3</v>
      </c>
      <c r="D21" s="1">
        <v>474.1</v>
      </c>
      <c r="E21" s="1">
        <v>571.6</v>
      </c>
      <c r="F21" s="1">
        <v>478.5</v>
      </c>
      <c r="G21" s="1">
        <f t="shared" si="0"/>
        <v>493.82</v>
      </c>
    </row>
    <row r="22" spans="1:23" x14ac:dyDescent="0.4">
      <c r="A22" s="1" t="s">
        <v>15</v>
      </c>
      <c r="B22" s="1">
        <v>33.700000000000003</v>
      </c>
      <c r="C22" s="1">
        <v>52.5</v>
      </c>
      <c r="D22" s="1">
        <v>55.1</v>
      </c>
      <c r="E22" s="1">
        <v>42.3</v>
      </c>
      <c r="F22" s="1">
        <v>51</v>
      </c>
      <c r="G22" s="1">
        <f t="shared" si="0"/>
        <v>46.92</v>
      </c>
    </row>
    <row r="23" spans="1:23" x14ac:dyDescent="0.4">
      <c r="A23" s="1" t="s">
        <v>16</v>
      </c>
      <c r="B23" s="1">
        <v>65.7</v>
      </c>
      <c r="C23" s="1">
        <v>75.400000000000006</v>
      </c>
      <c r="D23" s="1">
        <v>80.7</v>
      </c>
      <c r="E23" s="1">
        <v>88.9</v>
      </c>
      <c r="F23" s="1">
        <v>92.5</v>
      </c>
      <c r="G23" s="1">
        <f t="shared" si="0"/>
        <v>80.640000000000015</v>
      </c>
    </row>
    <row r="24" spans="1:23" x14ac:dyDescent="0.4">
      <c r="G24" s="1"/>
    </row>
    <row r="25" spans="1:23" x14ac:dyDescent="0.4">
      <c r="G25" s="1"/>
      <c r="I25" t="s">
        <v>18</v>
      </c>
      <c r="Q25" t="s">
        <v>29</v>
      </c>
    </row>
    <row r="26" spans="1:23" ht="24" x14ac:dyDescent="0.4">
      <c r="A26" s="1" t="s">
        <v>19</v>
      </c>
      <c r="G26" s="1"/>
      <c r="I26" t="s">
        <v>1</v>
      </c>
      <c r="J26" t="s">
        <v>26</v>
      </c>
      <c r="K26" t="s">
        <v>27</v>
      </c>
      <c r="L26" t="s">
        <v>23</v>
      </c>
      <c r="M26" t="s">
        <v>28</v>
      </c>
      <c r="N26" t="s">
        <v>25</v>
      </c>
      <c r="O26" t="s">
        <v>13</v>
      </c>
      <c r="Q26" t="s">
        <v>1</v>
      </c>
      <c r="R26" t="s">
        <v>26</v>
      </c>
      <c r="S26" t="s">
        <v>27</v>
      </c>
      <c r="T26" t="s">
        <v>23</v>
      </c>
      <c r="U26" t="s">
        <v>28</v>
      </c>
      <c r="V26" t="s">
        <v>25</v>
      </c>
      <c r="W26" t="s">
        <v>13</v>
      </c>
    </row>
    <row r="27" spans="1:23" x14ac:dyDescent="0.4">
      <c r="A27" s="1" t="s">
        <v>6</v>
      </c>
      <c r="B27">
        <v>43.5</v>
      </c>
      <c r="C27">
        <v>47.9</v>
      </c>
      <c r="D27">
        <v>77</v>
      </c>
      <c r="E27">
        <v>79</v>
      </c>
      <c r="F27">
        <v>78</v>
      </c>
      <c r="G27" s="1">
        <f t="shared" ref="G27:G29" si="2">AVERAGE(B27:F27)</f>
        <v>65.08</v>
      </c>
      <c r="I27" s="1" t="s">
        <v>44</v>
      </c>
      <c r="J27" s="1">
        <v>2.4</v>
      </c>
      <c r="K27" s="1">
        <v>34.1</v>
      </c>
      <c r="L27" s="1">
        <v>56.6</v>
      </c>
      <c r="M27" s="1">
        <v>63.8</v>
      </c>
      <c r="N27" s="1">
        <v>98.8</v>
      </c>
      <c r="O27" s="1">
        <f>AVERAGE(J27:N27)</f>
        <v>51.14</v>
      </c>
      <c r="Q27" s="1" t="s">
        <v>31</v>
      </c>
      <c r="R27" s="1">
        <v>52.6</v>
      </c>
      <c r="S27" s="1">
        <v>48.9</v>
      </c>
      <c r="T27" s="1">
        <v>63.7</v>
      </c>
      <c r="U27" s="1">
        <v>70.099999999999994</v>
      </c>
      <c r="V27" s="1">
        <v>75.2</v>
      </c>
      <c r="W27" s="1">
        <f>AVERAGE(R27:V27)</f>
        <v>62.1</v>
      </c>
    </row>
    <row r="28" spans="1:23" x14ac:dyDescent="0.4">
      <c r="A28" s="1" t="s">
        <v>15</v>
      </c>
      <c r="B28">
        <v>30.4</v>
      </c>
      <c r="C28">
        <v>33.200000000000003</v>
      </c>
      <c r="D28">
        <v>50</v>
      </c>
      <c r="E28">
        <v>58</v>
      </c>
      <c r="F28">
        <v>41</v>
      </c>
      <c r="G28" s="1">
        <f t="shared" si="2"/>
        <v>42.519999999999996</v>
      </c>
      <c r="I28" s="1" t="s">
        <v>17</v>
      </c>
      <c r="J28" s="1">
        <v>52.6</v>
      </c>
      <c r="K28" s="1">
        <v>48.9</v>
      </c>
      <c r="L28" s="1">
        <v>63.7</v>
      </c>
      <c r="M28" s="1">
        <v>70.099999999999994</v>
      </c>
      <c r="N28" s="1">
        <v>75.2</v>
      </c>
      <c r="O28" s="1">
        <f>AVERAGE(J28:N28)</f>
        <v>62.1</v>
      </c>
      <c r="Q28" s="1" t="s">
        <v>30</v>
      </c>
      <c r="R28">
        <v>43.5</v>
      </c>
      <c r="S28">
        <v>47.9</v>
      </c>
      <c r="T28">
        <v>77</v>
      </c>
      <c r="U28">
        <v>79</v>
      </c>
      <c r="V28">
        <v>78</v>
      </c>
      <c r="W28" s="1">
        <f t="shared" ref="W28" si="3">AVERAGE(R28:V28)</f>
        <v>65.08</v>
      </c>
    </row>
    <row r="29" spans="1:23" x14ac:dyDescent="0.4">
      <c r="A29" s="1" t="s">
        <v>16</v>
      </c>
      <c r="B29">
        <v>46.4</v>
      </c>
      <c r="C29">
        <v>49.4</v>
      </c>
      <c r="D29">
        <v>75</v>
      </c>
      <c r="E29">
        <v>69</v>
      </c>
      <c r="F29">
        <v>87</v>
      </c>
      <c r="G29" s="1">
        <f t="shared" si="2"/>
        <v>65.36</v>
      </c>
      <c r="I29" s="1" t="s">
        <v>12</v>
      </c>
      <c r="J29" s="1">
        <v>59.3</v>
      </c>
      <c r="K29" s="1">
        <v>56.2</v>
      </c>
      <c r="L29" s="1">
        <v>94.8</v>
      </c>
      <c r="M29" s="1">
        <v>80.5</v>
      </c>
      <c r="N29" s="1">
        <v>95.9</v>
      </c>
      <c r="O29" s="1">
        <f t="shared" ref="O29" si="4">AVERAGE(J29:N29)</f>
        <v>77.34</v>
      </c>
    </row>
    <row r="30" spans="1:23" x14ac:dyDescent="0.4">
      <c r="A30" s="1"/>
      <c r="G30" s="1"/>
    </row>
    <row r="31" spans="1:23" x14ac:dyDescent="0.4">
      <c r="A31" s="1"/>
      <c r="G31" s="1"/>
    </row>
    <row r="32" spans="1:23" ht="24" x14ac:dyDescent="0.4">
      <c r="A32" s="3" t="s">
        <v>32</v>
      </c>
      <c r="G32" s="1"/>
    </row>
    <row r="33" spans="1:23" x14ac:dyDescent="0.4">
      <c r="A33" s="1" t="s">
        <v>6</v>
      </c>
      <c r="B33">
        <v>68.900000000000006</v>
      </c>
      <c r="C33">
        <v>62.8</v>
      </c>
      <c r="D33">
        <v>86.4</v>
      </c>
      <c r="E33">
        <v>80.599999999999994</v>
      </c>
      <c r="F33">
        <v>89</v>
      </c>
      <c r="G33" s="1">
        <f t="shared" ref="G33:G35" si="5">AVERAGE(B33:F33)</f>
        <v>77.539999999999992</v>
      </c>
      <c r="Q33" s="1"/>
      <c r="R33" s="1"/>
      <c r="S33" s="1"/>
      <c r="T33" s="1"/>
      <c r="U33" s="1"/>
      <c r="V33" s="1"/>
      <c r="W33" s="1"/>
    </row>
    <row r="34" spans="1:23" x14ac:dyDescent="0.4">
      <c r="A34" s="1" t="s">
        <v>15</v>
      </c>
      <c r="B34">
        <v>42.7</v>
      </c>
      <c r="C34">
        <v>45.2</v>
      </c>
      <c r="D34">
        <v>64.3</v>
      </c>
      <c r="E34">
        <v>40.299999999999997</v>
      </c>
      <c r="F34">
        <v>56.6</v>
      </c>
      <c r="G34" s="1">
        <f t="shared" si="5"/>
        <v>49.82</v>
      </c>
      <c r="Q34" s="1"/>
      <c r="W34" s="1"/>
    </row>
    <row r="35" spans="1:23" x14ac:dyDescent="0.4">
      <c r="A35" s="1" t="s">
        <v>16</v>
      </c>
      <c r="B35">
        <v>75.400000000000006</v>
      </c>
      <c r="C35">
        <v>62.6</v>
      </c>
      <c r="D35">
        <v>77.900000000000006</v>
      </c>
      <c r="E35">
        <v>90</v>
      </c>
      <c r="F35">
        <v>88.7</v>
      </c>
      <c r="G35" s="1">
        <f t="shared" si="5"/>
        <v>78.919999999999987</v>
      </c>
    </row>
    <row r="36" spans="1:23" x14ac:dyDescent="0.4">
      <c r="G36" s="1"/>
    </row>
    <row r="37" spans="1:23" x14ac:dyDescent="0.4">
      <c r="G37" s="1"/>
    </row>
    <row r="38" spans="1:23" x14ac:dyDescent="0.4">
      <c r="G38" s="1"/>
    </row>
    <row r="39" spans="1:23" ht="24" x14ac:dyDescent="0.4">
      <c r="A39" s="3" t="s">
        <v>35</v>
      </c>
    </row>
    <row r="40" spans="1:23" x14ac:dyDescent="0.4">
      <c r="A40" s="1" t="s">
        <v>6</v>
      </c>
      <c r="B40">
        <v>78.7</v>
      </c>
      <c r="C40">
        <v>86.1</v>
      </c>
      <c r="D40">
        <v>74.2</v>
      </c>
      <c r="E40">
        <v>122.9</v>
      </c>
      <c r="F40">
        <v>135.19999999999999</v>
      </c>
      <c r="G40" s="1">
        <f t="shared" ref="G40:G42" si="6">AVERAGE(B40:F40)</f>
        <v>99.419999999999987</v>
      </c>
    </row>
    <row r="41" spans="1:23" x14ac:dyDescent="0.4">
      <c r="A41" s="1" t="s">
        <v>15</v>
      </c>
      <c r="B41">
        <v>44.9</v>
      </c>
      <c r="C41">
        <v>59.3</v>
      </c>
      <c r="D41">
        <v>46.7</v>
      </c>
      <c r="E41">
        <v>90.1</v>
      </c>
      <c r="F41">
        <v>110.9</v>
      </c>
      <c r="G41" s="1">
        <f t="shared" si="6"/>
        <v>70.38</v>
      </c>
    </row>
    <row r="42" spans="1:23" x14ac:dyDescent="0.4">
      <c r="A42" s="1" t="s">
        <v>16</v>
      </c>
      <c r="B42">
        <v>86.6</v>
      </c>
      <c r="C42">
        <v>84.3</v>
      </c>
      <c r="D42">
        <v>77.8</v>
      </c>
      <c r="E42">
        <v>107.4</v>
      </c>
      <c r="F42">
        <v>115.6</v>
      </c>
      <c r="G42" s="1">
        <f t="shared" si="6"/>
        <v>94.34</v>
      </c>
    </row>
    <row r="43" spans="1:23" x14ac:dyDescent="0.4">
      <c r="G43" s="1"/>
    </row>
    <row r="44" spans="1:23" x14ac:dyDescent="0.4">
      <c r="G44" s="1"/>
    </row>
    <row r="45" spans="1:23" ht="24" x14ac:dyDescent="0.4">
      <c r="A45" s="3" t="s">
        <v>33</v>
      </c>
      <c r="G45" s="1"/>
    </row>
    <row r="46" spans="1:23" x14ac:dyDescent="0.4">
      <c r="A46" s="1" t="s">
        <v>6</v>
      </c>
      <c r="B46">
        <v>79.3</v>
      </c>
      <c r="C46">
        <v>67.7</v>
      </c>
      <c r="D46">
        <v>95.5</v>
      </c>
      <c r="E46">
        <v>99.6</v>
      </c>
      <c r="F46">
        <v>136.80000000000001</v>
      </c>
      <c r="G46" s="1">
        <f t="shared" ref="G46:G48" si="7">AVERAGE(B46:F46)</f>
        <v>95.78</v>
      </c>
    </row>
    <row r="47" spans="1:23" x14ac:dyDescent="0.4">
      <c r="A47" s="1" t="s">
        <v>15</v>
      </c>
      <c r="B47">
        <v>47.8</v>
      </c>
      <c r="C47">
        <v>49.2</v>
      </c>
      <c r="D47">
        <v>72.7</v>
      </c>
      <c r="E47">
        <v>67.7</v>
      </c>
      <c r="F47">
        <v>121.1</v>
      </c>
      <c r="G47" s="1">
        <f t="shared" si="7"/>
        <v>71.7</v>
      </c>
    </row>
    <row r="48" spans="1:23" x14ac:dyDescent="0.4">
      <c r="A48" s="1" t="s">
        <v>16</v>
      </c>
      <c r="B48">
        <v>82.5</v>
      </c>
      <c r="C48">
        <v>64.400000000000006</v>
      </c>
      <c r="D48">
        <v>83.6</v>
      </c>
      <c r="E48">
        <v>93.7</v>
      </c>
      <c r="F48">
        <v>109.9</v>
      </c>
      <c r="G48" s="1">
        <f t="shared" si="7"/>
        <v>86.820000000000007</v>
      </c>
    </row>
    <row r="51" spans="1:17" ht="24" x14ac:dyDescent="0.4">
      <c r="A51" s="3" t="s">
        <v>34</v>
      </c>
      <c r="G51" s="1"/>
      <c r="K51" s="3"/>
      <c r="Q51" s="1"/>
    </row>
    <row r="52" spans="1:17" x14ac:dyDescent="0.4">
      <c r="A52" s="1" t="s">
        <v>6</v>
      </c>
      <c r="B52">
        <v>78.7</v>
      </c>
      <c r="C52">
        <v>82.9</v>
      </c>
      <c r="D52">
        <v>77.2</v>
      </c>
      <c r="E52">
        <v>88.1</v>
      </c>
      <c r="F52">
        <v>124.2</v>
      </c>
      <c r="G52" s="1">
        <f t="shared" ref="G52:G54" si="8">AVERAGE(B52:F52)</f>
        <v>90.22</v>
      </c>
      <c r="K52" s="1"/>
      <c r="Q52" s="1"/>
    </row>
    <row r="53" spans="1:17" x14ac:dyDescent="0.4">
      <c r="A53" s="1" t="s">
        <v>15</v>
      </c>
      <c r="B53">
        <v>44.5</v>
      </c>
      <c r="C53">
        <v>60.8</v>
      </c>
      <c r="D53">
        <v>50.7</v>
      </c>
      <c r="E53">
        <v>59.6</v>
      </c>
      <c r="F53">
        <v>98.2</v>
      </c>
      <c r="G53" s="1">
        <f t="shared" si="8"/>
        <v>62.760000000000005</v>
      </c>
      <c r="K53" s="1"/>
      <c r="Q53" s="1"/>
    </row>
    <row r="54" spans="1:17" x14ac:dyDescent="0.4">
      <c r="A54" s="1" t="s">
        <v>16</v>
      </c>
      <c r="B54">
        <v>85.2</v>
      </c>
      <c r="C54">
        <v>77.400000000000006</v>
      </c>
      <c r="D54">
        <v>75.599999999999994</v>
      </c>
      <c r="E54">
        <v>83.3</v>
      </c>
      <c r="F54">
        <v>109.8</v>
      </c>
      <c r="G54" s="1">
        <f t="shared" si="8"/>
        <v>86.26</v>
      </c>
      <c r="K54" s="1"/>
      <c r="Q54" s="1"/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渡辺温也</dc:creator>
  <cp:lastModifiedBy>温也 渡邉</cp:lastModifiedBy>
  <dcterms:created xsi:type="dcterms:W3CDTF">2025-01-19T05:09:15Z</dcterms:created>
  <dcterms:modified xsi:type="dcterms:W3CDTF">2025-05-21T01:21:09Z</dcterms:modified>
</cp:coreProperties>
</file>